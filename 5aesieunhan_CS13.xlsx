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1_Danh sách việc" sheetId="3" state="visible" r:id="rId3"/>
    <sheet xmlns:r="http://schemas.openxmlformats.org/officeDocument/2006/relationships" name="2_Mức tự động" sheetId="4" state="visible" r:id="rId4"/>
    <sheet xmlns:r="http://schemas.openxmlformats.org/officeDocument/2006/relationships" name="3_Bảng lộ trình" sheetId="5" state="visible" r:id="rId5"/>
    <sheet xmlns:r="http://schemas.openxmlformats.org/officeDocument/2006/relationships" name="4_Rà soát" sheetId="6" state="visible" r:id="rId6"/>
    <sheet xmlns:r="http://schemas.openxmlformats.org/officeDocument/2006/relationships" name="5_Slide lãnh đạo" sheetId="7" state="visible" r:id="rId7"/>
    <sheet xmlns:r="http://schemas.openxmlformats.org/officeDocument/2006/relationships" name="6_Tự kiểm tra" sheetId="8" state="visible" r:id="rId8"/>
    <sheet xmlns:r="http://schemas.openxmlformats.org/officeDocument/2006/relationships" name="7_Thang điểm"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RED]\-#,##0"/>
    <numFmt numFmtId="165" formatCode="0.0"/>
  </numFmts>
  <fonts count="11">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color rgb="FFFFFFFF"/>
      <sz val="11"/>
    </font>
    <font>
      <name val="Cambria"/>
      <charset val="1"/>
      <family val="0"/>
      <b val="1"/>
      <sz val="11"/>
    </font>
    <font>
      <name val="Calibri"/>
      <charset val="1"/>
      <family val="0"/>
      <sz val="11"/>
    </font>
    <font>
      <name val="Calibri"/>
      <charset val="1"/>
      <family val="0"/>
      <i val="1"/>
      <color rgb="FF595959"/>
      <sz val="10"/>
    </font>
    <font>
      <name val="Cambria"/>
      <charset val="1"/>
      <family val="0"/>
      <b val="1"/>
      <sz val="12"/>
    </font>
  </fonts>
  <fills count="5">
    <fill>
      <patternFill/>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32" min="1" max="1"/>
  </cols>
  <sheetData>
    <row r="1" ht="17.25" customHeight="1" s="33">
      <c r="A1" s="34" t="inlineStr">
        <is>
          <t>CS13 · Lộ trình sản phẩm AI — File thực hành · Đề 2 · ChấmNhanh</t>
        </is>
      </c>
    </row>
    <row r="2" ht="15" customHeight="1" s="33">
      <c r="A2" s="35" t="inlineStr">
        <is>
          <t>AI in Action · Track 1 · Khóa 4. FILE LÀM BÀI CỦA NHÓM · Đề 2 · ChấmNhanh. Dữ liệu của đề nằm trong file CS13_HoSoTinhHuong.pdf; file CS13_Roadmap_Mau.xlsx là bản mẫu đã điền (một sản phẩm khác) để xem cách điền.</t>
        </is>
      </c>
    </row>
    <row r="4" ht="15" customHeight="1" s="33">
      <c r="A4" s="32" t="inlineStr">
        <is>
          <t>Luật chơi: CHỈ điền vào ô màu VÀNG. Ô màu XANH là công thức và đã được khóa. Bắt đầu bằng trang 0_Đầu vào (Nhiệm vụ 0: đọc hồ sơ tình huống).</t>
        </is>
      </c>
    </row>
    <row r="5" ht="15" customHeight="1" s="33">
      <c r="A5" s="32" t="inlineStr">
        <is>
          <t>Thứ tự làm: 0 Đọc hồ sơ → 1 Danh sách việc → 2 Mức tự động → 3 Bảng lộ trình → 4 Rà soát → 6 Tự kiểm tra. Trang 5 (slide lãnh đạo) làm ở nhà.</t>
        </is>
      </c>
    </row>
    <row r="6" ht="15" customHeight="1" s="33">
      <c r="A6" s="32" t="inlineStr">
        <is>
          <t>Số liệu kinh tế của đề đã điền sẵn ở trang 2, dòng 12–20. Không cần file của buổi nào khác: mọi dữ liệu cần dùng nằm trong hồ sơ tình huống, Đề 2.</t>
        </is>
      </c>
    </row>
    <row r="7" ht="15" customHeight="1" s="33">
      <c r="A7" s="32" t="inlineStr">
        <is>
          <t>Lộ trình theo GIẢ THUYẾT: mỗi hạng mục phải trả lời 'Ta tin rằng làm X sẽ giúp Y đạt Z; biết đúng khi chỉ số W đạt ngưỡng V'.</t>
        </is>
      </c>
    </row>
    <row r="8" ht="15" customHeight="1" s="33">
      <c r="A8" s="32" t="inlineStr">
        <is>
          <t>Tên file nộp: [Nhom]_CS13.xlsx · Nộp bản có Nhiệm vụ 1–4 lên VLearn trước 18:00 ngày 16/10. Trang 5 (Nhiệm vụ 5, làm ở nhà) nộp trước 23:59 ngày 19/10.</t>
        </is>
      </c>
    </row>
    <row r="9" ht="15" customHeight="1" s="33">
      <c r="A9" s="32" t="inlineStr">
        <is>
          <t>Tuân thủ: Luật Trí tuệ nhân tạo số 134/2025/QH15 (hiệu lực 01/3/2026) chia hệ thống AI thành 3 mức rủi ro và yêu cầu người dùng được thông tin khi tương tác với AI. Đọc văn bản gốc trước khi ghi vào bài.</t>
        </is>
      </c>
    </row>
    <row r="11" ht="15" customHeight="1" s="33">
      <c r="A11" s="32" t="inlineStr">
        <is>
          <t>Chú thích màu:</t>
        </is>
      </c>
    </row>
    <row r="12" ht="15" customHeight="1" s="33">
      <c r="A12" s="36" t="inlineStr">
        <is>
          <t>Ô điền giả định (không khóa)</t>
        </is>
      </c>
    </row>
    <row r="13" ht="15" customHeight="1" s="33">
      <c r="A13" s="37" t="inlineStr">
        <is>
          <t>Ô công thức (tự tính, đã khóa)</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32" min="1" max="1"/>
    <col width="14" customWidth="1" style="32" min="2" max="2"/>
    <col width="46" customWidth="1" style="32" min="3" max="4"/>
    <col width="36" customWidth="1" style="32" min="5" max="5"/>
  </cols>
  <sheetData>
    <row r="1" ht="17.25" customHeight="1" s="33">
      <c r="A1" s="34" t="inlineStr">
        <is>
          <t>0 · Nhiệm vụ 0: đọc hồ sơ tình huống, Đề 2 (5 phút)</t>
        </is>
      </c>
    </row>
    <row r="2" ht="15" customHeight="1" s="33">
      <c r="A2" s="35" t="inlineStr">
        <is>
          <t>Cả nhóm đọc cùng một hồ sơ trước khi điền. Nhiệm vụ 0 không tính điểm; đánh dấu "Có" khi cả nhóm đã đọc mục đó.</t>
        </is>
      </c>
    </row>
    <row r="4" ht="26.25" customHeight="1" s="33">
      <c r="A4" s="38" t="inlineStr">
        <is>
          <t>Mục trong hồ sơ tình huống</t>
        </is>
      </c>
      <c r="B4" s="38" t="inlineStr">
        <is>
          <t>Nhóm đã đọc chưa?</t>
        </is>
      </c>
      <c r="C4" s="38" t="inlineStr">
        <is>
          <t>Dùng ở đâu trong file</t>
        </is>
      </c>
      <c r="D4" s="38" t="inlineStr">
        <is>
          <t>Lưu ý</t>
        </is>
      </c>
      <c r="E4" s="38" t="inlineStr">
        <is>
          <t>Ghi chú của nhóm</t>
        </is>
      </c>
    </row>
    <row r="5" ht="33.75" customHeight="1" s="33">
      <c r="A5" s="39" t="inlineStr">
        <is>
          <t>Số liệu kinh tế của đề (9 dòng)</t>
        </is>
      </c>
      <c r="B5" s="40" t="inlineStr">
        <is>
          <t>Có</t>
        </is>
      </c>
      <c r="C5" s="39" t="inlineStr">
        <is>
          <t>Đã điền sẵn ở trang 2, dòng 12–20: chi phí mỗi việc, biên lợi nhuận, điều kiện dừng</t>
        </is>
      </c>
      <c r="D5" s="39" t="inlineStr">
        <is>
          <t>Đọc để hiểu; không cần chép</t>
        </is>
      </c>
      <c r="E5" s="40" t="inlineStr">
        <is>
          <t>Đã đối chiếu 9 dòng số liệu với trang 2 B12:B20; khớp hồ sơ</t>
        </is>
      </c>
    </row>
    <row r="6" ht="33.75" customHeight="1" s="33">
      <c r="A6" s="39" t="inlineStr">
        <is>
          <t>Bối cảnh, sản phẩm, "1 việc" là gì</t>
        </is>
      </c>
      <c r="B6" s="40" t="inlineStr">
        <is>
          <t>Có</t>
        </is>
      </c>
      <c r="C6" s="39" t="inlineStr">
        <is>
          <t>Giả thuyết và chỉ số ở trang 1</t>
        </is>
      </c>
      <c r="D6" s="39" t="inlineStr">
        <is>
          <t>Viết giả thuyết theo đúng "1 việc" của đề</t>
        </is>
      </c>
      <c r="E6" s="40" t="inlineStr">
        <is>
          <t>1 việc = 1 bài viết được chấm điểm và có nhận xét; ~1.500 bài/tuần</t>
        </is>
      </c>
    </row>
    <row r="7" ht="33.75" customHeight="1" s="33">
      <c r="A7" s="39" t="inlineStr">
        <is>
          <t>6 việc gợi ý</t>
        </is>
      </c>
      <c r="B7" s="40" t="inlineStr">
        <is>
          <t>Có</t>
        </is>
      </c>
      <c r="C7" s="39" t="inlineStr">
        <is>
          <t>Trang 1, cột B–C; nhóm được thêm việc của mình</t>
        </is>
      </c>
      <c r="D7" s="39" t="inlineStr">
        <is>
          <t>Giữ, bỏ hay đổi thứ tự đều phải ghi lý do ở cột Q</t>
        </is>
      </c>
      <c r="E7" s="40" t="inlineStr">
        <is>
          <t>Giữ 6 việc gợi ý, thêm việc 7 (báo cáo độ lệch cho đối tác)</t>
        </is>
      </c>
    </row>
    <row r="8" ht="33.75" customHeight="1" s="33">
      <c r="A8" s="39" t="inlineStr">
        <is>
          <t>Kết quả đánh giá đã có (bộ đề, cổng phát hành)</t>
        </is>
      </c>
      <c r="B8" s="40" t="inlineStr">
        <is>
          <t>Có</t>
        </is>
      </c>
      <c r="C8" s="39" t="inlineStr">
        <is>
          <t>Cổng đánh giá ở trang 2; việc cần làm trước ở trang 3</t>
        </is>
      </c>
      <c r="D8" s="39" t="inlineStr">
        <is>
          <t>Đề 2, 3: kết luận chưa phải "Phát hành" → có việc phải làm trước</t>
        </is>
      </c>
      <c r="E8" s="40" t="inlineStr">
        <is>
          <t>Phát hành có giới hạn; tầng Khó tụt 1 → sửa và chạy lại trước khi mở rộng</t>
        </is>
      </c>
    </row>
    <row r="9" ht="33.75" customHeight="1" s="33">
      <c r="A9" s="39" t="inlineStr">
        <is>
          <t>Chuyên gia và số giờ của họ</t>
        </is>
      </c>
      <c r="B9" s="40" t="inlineStr">
        <is>
          <t>Có</t>
        </is>
      </c>
      <c r="C9" s="39" t="inlineStr">
        <is>
          <t>Dòng "Điều kiện cần" ở trang 3; ô "Cần gì" ở trang 5</t>
        </is>
      </c>
      <c r="D9" s="39" t="inlineStr">
        <is>
          <t>Dẫn đúng số giờ trong hồ sơ</t>
        </is>
      </c>
      <c r="E9" s="40" t="inlineStr">
        <is>
          <t>Cô Lan + thầy Khoa, 2 giờ/tuần mỗi người; 1 vòng 40 bài = 14,2 giờ</t>
        </is>
      </c>
    </row>
    <row r="10" ht="33.75" customHeight="1" s="33">
      <c r="A10" s="39" t="inlineStr">
        <is>
          <t>Gợi ý về người duyệt và mức tự động</t>
        </is>
      </c>
      <c r="B10" s="40" t="inlineStr">
        <is>
          <t>Có</t>
        </is>
      </c>
      <c r="C10" s="39" t="inlineStr">
        <is>
          <t>Trang 2, cột H và I</t>
        </is>
      </c>
      <c r="D10" s="39" t="inlineStr">
        <is>
          <t>Đề 3: bác sĩ của bệnh viện không tính vào chi phí</t>
        </is>
      </c>
      <c r="E10" s="40" t="inlineStr">
        <is>
          <t>Người duyệt = giáo viên công ty trả tiền; hai giáo viên giỏi khớp ~70% trong 0,5 điểm</t>
        </is>
      </c>
    </row>
    <row r="12" ht="15" customHeight="1" s="33">
      <c r="A12" s="41" t="inlineStr">
        <is>
          <t>Số mục nhóm đã đọc</t>
        </is>
      </c>
      <c r="B12" s="37">
        <f>COUNTIF(B5:B10,"Có")</f>
        <v/>
      </c>
    </row>
    <row r="13" ht="15" customHeight="1" s="33">
      <c r="A13" s="35" t="inlineStr">
        <is>
          <t>Đủ 6/6 thì sang Nhiệm vụ 1.</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32" min="1" max="1"/>
    <col width="30" customWidth="1" style="32" min="2" max="2"/>
    <col width="28" customWidth="1" style="32" min="3" max="3"/>
    <col width="38" customWidth="1" style="32" min="4" max="4"/>
    <col width="32" customWidth="1" style="32" min="5" max="5"/>
    <col width="8" customWidth="1" style="32" min="6" max="7"/>
    <col width="11" customWidth="1" style="32" min="8" max="8"/>
    <col width="8" customWidth="1" style="32" min="9" max="9"/>
    <col width="11" customWidth="1" style="32" min="10" max="10"/>
    <col width="10" customWidth="1" style="32" min="11" max="11"/>
    <col width="13" customWidth="1" style="32" min="12" max="12"/>
    <col width="10" customWidth="1" style="32" min="13" max="14"/>
    <col width="12" customWidth="1" style="32" min="15" max="15"/>
    <col width="14" customWidth="1" style="32" min="16" max="16"/>
    <col width="58" customWidth="1" style="32" min="17" max="17"/>
  </cols>
  <sheetData>
    <row r="1" ht="17.25" customHeight="1" s="33">
      <c r="A1" s="34" t="inlineStr">
        <is>
          <t>1 · Danh sách việc và chấm điểm ưu tiên</t>
        </is>
      </c>
    </row>
    <row r="2" ht="15" customHeight="1" s="33">
      <c r="A2" s="35" t="inlineStr">
        <is>
          <t>Điểm = Độ phủ × Tác động × Mức tự tin ÷ Công sức × (0,5 + 0,5 × sẵn sàng trung bình của dữ liệu và đánh giá) × (1 − 0,5 × rủi ro bị 'nuốt')</t>
        </is>
      </c>
    </row>
    <row r="4" ht="39" customHeight="1" s="33">
      <c r="A4" s="42" t="inlineStr">
        <is>
          <t>STT</t>
        </is>
      </c>
      <c r="B4" s="42" t="inlineStr">
        <is>
          <t>Việc</t>
        </is>
      </c>
      <c r="C4" s="42" t="inlineStr">
        <is>
          <t>Kết quả muốn đạt</t>
        </is>
      </c>
      <c r="D4" s="42" t="inlineStr">
        <is>
          <t>Giả thuyết (Ta tin rằng…)</t>
        </is>
      </c>
      <c r="E4" s="42" t="inlineStr">
        <is>
          <t>Chỉ số thành công và ngưỡng</t>
        </is>
      </c>
      <c r="F4" s="42" t="inlineStr">
        <is>
          <t>Độ phủ 1–5</t>
        </is>
      </c>
      <c r="G4" s="42" t="inlineStr">
        <is>
          <t>Tác động 1–5</t>
        </is>
      </c>
      <c r="H4" s="42" t="inlineStr">
        <is>
          <t>Mức tự tin 0,5 / 0,8 / 1</t>
        </is>
      </c>
      <c r="I4" s="42" t="inlineStr">
        <is>
          <t>Công sức 1–5</t>
        </is>
      </c>
      <c r="J4" s="42" t="inlineStr">
        <is>
          <t>Sẵn sàng dữ liệu 0–1</t>
        </is>
      </c>
      <c r="K4" s="42" t="inlineStr">
        <is>
          <t>Sẵn sàng đánh giá 0–1</t>
        </is>
      </c>
      <c r="L4" s="42" t="inlineStr">
        <is>
          <t>Rủi ro bị nuốt 0–1</t>
        </is>
      </c>
      <c r="M4" s="42" t="inlineStr">
        <is>
          <t>ĐIỂM</t>
        </is>
      </c>
      <c r="N4" s="42" t="inlineStr">
        <is>
          <t>Xếp hạng</t>
        </is>
      </c>
      <c r="O4" s="42" t="inlineStr">
        <is>
          <t>Chỉ số có con số?</t>
        </is>
      </c>
      <c r="P4" s="42" t="inlineStr">
        <is>
          <t>Tự làm / Mua / Chờ / Không làm</t>
        </is>
      </c>
      <c r="Q4" s="42" t="inlineStr">
        <is>
          <t>Lý do (đổi thứ tự, chọn mua hay chờ…)</t>
        </is>
      </c>
    </row>
    <row r="5" ht="34.5" customHeight="1" s="33">
      <c r="A5" s="43" t="n">
        <v>1</v>
      </c>
      <c r="B5" s="40" t="inlineStr">
        <is>
          <t>Chấm điểm 4 tiêu chí cho bài viết thường</t>
        </is>
      </c>
      <c r="C5" s="40" t="inlineStr">
        <is>
          <t>Giáo viên bớt 60% giờ chấm bài thường</t>
        </is>
      </c>
      <c r="D5" s="40" t="inlineStr">
        <is>
          <t>Ta tin rằng để máy chấm 4 tiêu chí cho bài thường (ngoài vùng 5,0–6,5) sẽ giúp tổ chuyên môn bớt giờ chấm mà điểm vẫn sát điểm giáo viên.</t>
        </is>
      </c>
      <c r="E5" s="40" t="inlineStr">
        <is>
          <t>Giáo viên bớt ≥60% giờ chấm bài thường (trên khoảng 1.500 bài/tuần); ≥70% bài máy lệch giáo viên ≤0,5 điểm; 0 bài lệch &gt;1 điểm trên bộ đề 40 bài</t>
        </is>
      </c>
      <c r="F5" s="40" t="n">
        <v>5</v>
      </c>
      <c r="G5" s="40" t="n">
        <v>5</v>
      </c>
      <c r="H5" s="40" t="n">
        <v>0.8</v>
      </c>
      <c r="I5" s="40" t="n">
        <v>3</v>
      </c>
      <c r="J5" s="40" t="n">
        <v>0.8</v>
      </c>
      <c r="K5" s="40" t="n">
        <v>0.8</v>
      </c>
      <c r="L5" s="40" t="n">
        <v>0.3</v>
      </c>
      <c r="M5" s="44">
        <f>IF(COUNT(F5:L5)&lt;7,"",ROUND(F5*G5*H5/I5*(0.5+0.5*AVERAGE(J5:K5))*(1-0.5*L5),2))</f>
        <v/>
      </c>
      <c r="N5" s="44">
        <f>IF(M5="","",RANK(M5,$M$5:$M$14))</f>
        <v/>
      </c>
      <c r="O5" s="45">
        <f>IF(B5="","",IF(OR(D5="",E5=""),"Thiếu",IF(SUMPRODUCT(--ISNUMBER(SEARCH({"0","1","2","3","4","5","6","7","8","9"},E5)))&gt;0,"Có","Thiếu")))</f>
        <v/>
      </c>
      <c r="P5" s="46" t="inlineStr">
        <is>
          <t>Tự làm</t>
        </is>
      </c>
      <c r="Q5" s="46" t="inlineStr">
        <is>
          <t>Là lõi sản phẩm. Bản 2 đạt 82,6% (ngưỡng 80%) nhưng tầng Khó tụt 1 tầng nên phải sửa trước khi mở rộng. Tự tin 0,8: có bộ đề 40 bài, kappa 0,80, chưa có bằng chứng trên bài thật quy mô lớn.</t>
        </is>
      </c>
    </row>
    <row r="6" ht="23.25" customHeight="1" s="33">
      <c r="A6" s="43" t="n">
        <v>2</v>
      </c>
      <c r="B6" s="40" t="inlineStr">
        <is>
          <t>Nhận xét có trích câu và gợi ý sửa</t>
        </is>
      </c>
      <c r="C6" s="40" t="inlineStr">
        <is>
          <t>Học sinh sửa được bài sau</t>
        </is>
      </c>
      <c r="D6" s="40" t="inlineStr">
        <is>
          <t>Ta tin rằng nhận xét trích đúng câu của học sinh kèm gợi ý sửa sẽ giúp học sinh sửa được bài ở lần nộp sau.</t>
        </is>
      </c>
      <c r="E6" s="40" t="inlineStr">
        <is>
          <t>Tỷ lệ học sinh nộp bản sửa có điểm cao hơn bản đầu; ngưỡng đặt sau 4 tuần đo cơ sở (hiện chưa có số đo); mẫu ≥100 bài sửa</t>
        </is>
      </c>
      <c r="F6" s="40" t="n">
        <v>5</v>
      </c>
      <c r="G6" s="40" t="n">
        <v>3</v>
      </c>
      <c r="H6" s="40" t="n">
        <v>0.5</v>
      </c>
      <c r="I6" s="40" t="n">
        <v>3</v>
      </c>
      <c r="J6" s="40" t="n">
        <v>0.4</v>
      </c>
      <c r="K6" s="40" t="n">
        <v>0.3</v>
      </c>
      <c r="L6" s="40" t="n">
        <v>0.5</v>
      </c>
      <c r="M6" s="44">
        <f>IF(COUNT(F6:L6)&lt;7,"",ROUND(F6*G6*H6/I6*(0.5+0.5*AVERAGE(J6:K6))*(1-0.5*L6),2))</f>
        <v/>
      </c>
      <c r="N6" s="44">
        <f>IF(M6="","",RANK(M6,$M$5:$M$14))</f>
        <v/>
      </c>
      <c r="O6" s="45">
        <f>IF(B6="","",IF(OR(D6="",E6=""),"Thiếu",IF(SUMPRODUCT(--ISNUMBER(SEARCH({"0","1","2","3","4","5","6","7","8","9"},E6)))&gt;0,"Có","Thiếu")))</f>
        <v/>
      </c>
      <c r="P6" s="46" t="inlineStr">
        <is>
          <t>Chờ</t>
        </is>
      </c>
      <c r="Q6" s="46" t="inlineStr">
        <is>
          <t>Chưa có bộ đề đo 'học sinh sửa được bài sau' và dữ liệu bài sửa mới bắt đầu thu; mô hình miễn phí viết nhận xét khá tốt (rủi ro bị nuốt 0,5). Chờ, xem lại ở mốc ngày 90.</t>
        </is>
      </c>
    </row>
    <row r="7" ht="23.25" customHeight="1" s="33">
      <c r="A7" s="43" t="n">
        <v>3</v>
      </c>
      <c r="B7" s="40" t="inlineStr">
        <is>
          <t>Chuyển bài cho giáo viên đúng lúc</t>
        </is>
      </c>
      <c r="C7" s="40" t="inlineStr">
        <is>
          <t>Không bài khó nào bị máy chấm sai</t>
        </is>
      </c>
      <c r="D7" s="40" t="inlineStr">
        <is>
          <t>Ta tin rằng chuyển đúng bài vùng ranh giới 5,0–6,5 và bài thuộc tầng Khó cho giáo viên sẽ giúp không bài khó nào bị máy chấm lệch quá 1 điểm và phụ huynh bớt khiếu nại.</t>
        </is>
      </c>
      <c r="E7" s="40" t="inlineStr">
        <is>
          <t>0 bài lệch &gt;1 điểm trong mẫu chấm đôi ≥100 bài (giới hạn trên ≈3/100 = 3%); số tầng tụt từ 1 về 0 trên bộ đề 40 bài; khiếu nại của phụ huynh vì lệch điểm không quá 2 lần như hiện có</t>
        </is>
      </c>
      <c r="F7" s="40" t="n">
        <v>5</v>
      </c>
      <c r="G7" s="40" t="n">
        <v>5</v>
      </c>
      <c r="H7" s="40" t="n">
        <v>0.8</v>
      </c>
      <c r="I7" s="40" t="n">
        <v>2</v>
      </c>
      <c r="J7" s="40" t="n">
        <v>0.6</v>
      </c>
      <c r="K7" s="40" t="n">
        <v>0.8</v>
      </c>
      <c r="L7" s="40" t="n">
        <v>0.1</v>
      </c>
      <c r="M7" s="44">
        <f>IF(COUNT(F7:L7)&lt;7,"",ROUND(F7*G7*H7/I7*(0.5+0.5*AVERAGE(J7:K7))*(1-0.5*L7),2))</f>
        <v/>
      </c>
      <c r="N7" s="44">
        <f>IF(M7="","",RANK(M7,$M$5:$M$14))</f>
        <v/>
      </c>
      <c r="O7" s="45">
        <f>IF(B7="","",IF(OR(D7="",E7=""),"Thiếu",IF(SUMPRODUCT(--ISNUMBER(SEARCH({"0","1","2","3","4","5","6","7","8","9"},E7)))&gt;0,"Có","Thiếu")))</f>
        <v/>
      </c>
      <c r="P7" s="46" t="inlineStr">
        <is>
          <t>Tự làm</t>
        </is>
      </c>
      <c r="Q7" s="46" t="inlineStr">
        <is>
          <t>Xếp hạng 1 dù là việc STT 3: đúng chỗ đang đỏ trong cổng phát hành (số tầng tụt = 1, kết quả 'Xem lại') và là điều kiện để lên mức tự động. Công sức 2 vì chỉ là luật chuyển bài + sửa tầng Khó. Dữ liệu 0,6 vì phải gắn nhãn thêm ca khó.</t>
        </is>
      </c>
    </row>
    <row r="8" ht="23.25" customHeight="1" s="33">
      <c r="A8" s="43" t="n">
        <v>4</v>
      </c>
      <c r="B8" s="40" t="inlineStr">
        <is>
          <t>Sửa ngữ pháp từng câu</t>
        </is>
      </c>
      <c r="C8" s="40" t="inlineStr">
        <is>
          <t>Học sinh thấy lỗi ngữ pháp</t>
        </is>
      </c>
      <c r="D8" s="40" t="inlineStr">
        <is>
          <t>Ta tin rằng chỉ cần tích hợp công cụ sửa ngữ pháp có sẵn là học sinh đã thấy lỗi từng câu, ChấmNhanh không cần tự xây.</t>
        </is>
      </c>
      <c r="E8" s="40" t="inlineStr">
        <is>
          <t>100% bài có gợi ý sửa ngữ pháp từng câu; thêm 0 đồng chi phí gọi AI mỗi bài (dùng công cụ miễn phí)</t>
        </is>
      </c>
      <c r="F8" s="40" t="n">
        <v>5</v>
      </c>
      <c r="G8" s="40" t="n">
        <v>2</v>
      </c>
      <c r="H8" s="40" t="n">
        <v>1</v>
      </c>
      <c r="I8" s="40" t="n">
        <v>1</v>
      </c>
      <c r="J8" s="40" t="n">
        <v>1</v>
      </c>
      <c r="K8" s="40" t="n">
        <v>0.8</v>
      </c>
      <c r="L8" s="40" t="n">
        <v>1</v>
      </c>
      <c r="M8" s="44">
        <f>IF(COUNT(F8:L8)&lt;7,"",ROUND(F8*G8*H8/I8*(0.5+0.5*AVERAGE(J8:K8))*(1-0.5*L8),2))</f>
        <v/>
      </c>
      <c r="N8" s="44">
        <f>IF(M8="","",RANK(M8,$M$5:$M$14))</f>
        <v/>
      </c>
      <c r="O8" s="45">
        <f>IF(B8="","",IF(OR(D8="",E8=""),"Thiếu",IF(SUMPRODUCT(--ISNUMBER(SEARCH({"0","1","2","3","4","5","6","7","8","9"},E8)))&gt;0,"Có","Thiếu")))</f>
        <v/>
      </c>
      <c r="P8" s="46" t="inlineStr">
        <is>
          <t>Mua</t>
        </is>
      </c>
      <c r="Q8" s="46" t="inlineStr">
        <is>
          <t>Hồ sơ nói công cụ sửa ngữ pháp miễn phí đã làm tốt việc sửa từng câu nên rủi ro bị nuốt tối đa 1,0 và không tạo khác biệt. Điểm khá cao nhờ công sức 1 (chỉ tích hợp); chọn Mua để không tốn giờ chuyên gia hay kỹ sư xây lại.</t>
        </is>
      </c>
    </row>
    <row r="9" ht="23.25" customHeight="1" s="33">
      <c r="A9" s="43" t="n">
        <v>5</v>
      </c>
      <c r="B9" s="40" t="inlineStr">
        <is>
          <t>Báo cáo tiến bộ cho phụ huynh</t>
        </is>
      </c>
      <c r="C9" s="40" t="inlineStr">
        <is>
          <t>Phụ huynh gia hạn khoá học</t>
        </is>
      </c>
      <c r="D9" s="40" t="inlineStr">
        <is>
          <t>Ta tin rằng báo cáo tiến bộ của từng học sinh sẽ giúp phụ huynh gia hạn khoá học.</t>
        </is>
      </c>
      <c r="E9" s="40" t="inlineStr">
        <is>
          <t>Tỷ lệ gia hạn khoá của phụ huynh nhận báo cáo cao hơn nhóm không nhận; ngưỡng đặt khi đủ khoảng 3 tháng dữ liệu điểm</t>
        </is>
      </c>
      <c r="F9" s="40" t="n">
        <v>3</v>
      </c>
      <c r="G9" s="40" t="n">
        <v>3</v>
      </c>
      <c r="H9" s="40" t="n">
        <v>0.5</v>
      </c>
      <c r="I9" s="40" t="n">
        <v>4</v>
      </c>
      <c r="J9" s="40" t="n">
        <v>0.2</v>
      </c>
      <c r="K9" s="40" t="n">
        <v>0.2</v>
      </c>
      <c r="L9" s="40" t="n">
        <v>0.4</v>
      </c>
      <c r="M9" s="44">
        <f>IF(COUNT(F9:L9)&lt;7,"",ROUND(F9*G9*H9/I9*(0.5+0.5*AVERAGE(J9:K9))*(1-0.5*L9),2))</f>
        <v/>
      </c>
      <c r="N9" s="44">
        <f>IF(M9="","",RANK(M9,$M$5:$M$14))</f>
        <v/>
      </c>
      <c r="O9" s="45">
        <f>IF(B9="","",IF(OR(D9="",E9=""),"Thiếu",IF(SUMPRODUCT(--ISNUMBER(SEARCH({"0","1","2","3","4","5","6","7","8","9"},E9)))&gt;0,"Có","Thiếu")))</f>
        <v/>
      </c>
      <c r="P9" s="46" t="inlineStr">
        <is>
          <t>Chờ</t>
        </is>
      </c>
      <c r="Q9" s="46" t="inlineStr">
        <is>
          <t>Dữ liệu điểm học sinh mới bắt đầu thu, cần khoảng 3 tháng mới đủ để báo cáo tiến bộ; chưa có cách đo gia hạn. Chờ, xem lại ở mốc ngày 90 và đưa vào tầng Sau này.</t>
        </is>
      </c>
    </row>
    <row r="10" ht="23.25" customHeight="1" s="33">
      <c r="A10" s="43" t="n">
        <v>6</v>
      </c>
      <c r="B10" s="40" t="inlineStr">
        <is>
          <t>Tạo đề bài viết theo trình độ</t>
        </is>
      </c>
      <c r="C10" s="40" t="inlineStr">
        <is>
          <t>Giáo viên bớt giờ soạn đề</t>
        </is>
      </c>
      <c r="D10" s="40" t="inlineStr">
        <is>
          <t>Ta tin rằng tạo đề bài viết theo trình độ sẽ giúp giáo viên bớt giờ soạn đề.</t>
        </is>
      </c>
      <c r="E10" s="40" t="inlineStr">
        <is>
          <t>Không đặt ngưỡng vì không làm: mô hình miễn phí đã tạo được đề bài viết (chi phí thêm 0 đồng)</t>
        </is>
      </c>
      <c r="F10" s="40" t="n">
        <v>3</v>
      </c>
      <c r="G10" s="40" t="n">
        <v>2</v>
      </c>
      <c r="H10" s="40" t="n">
        <v>0.8</v>
      </c>
      <c r="I10" s="40" t="n">
        <v>2</v>
      </c>
      <c r="J10" s="40" t="n">
        <v>0.8</v>
      </c>
      <c r="K10" s="40" t="n">
        <v>0.5</v>
      </c>
      <c r="L10" s="40" t="n">
        <v>1</v>
      </c>
      <c r="M10" s="44">
        <f>IF(COUNT(F10:L10)&lt;7,"",ROUND(F10*G10*H10/I10*(0.5+0.5*AVERAGE(J10:K10))*(1-0.5*L10),2))</f>
        <v/>
      </c>
      <c r="N10" s="44">
        <f>IF(M10="","",RANK(M10,$M$5:$M$14))</f>
        <v/>
      </c>
      <c r="O10" s="45">
        <f>IF(B10="","",IF(OR(D10="",E10=""),"Thiếu",IF(SUMPRODUCT(--ISNUMBER(SEARCH({"0","1","2","3","4","5","6","7","8","9"},E10)))&gt;0,"Có","Thiếu")))</f>
        <v/>
      </c>
      <c r="P10" s="46" t="inlineStr">
        <is>
          <t>Không làm</t>
        </is>
      </c>
      <c r="Q10" s="46" t="inlineStr">
        <is>
          <t>Mô hình miễn phí đã tạo được đề bài viết nên rủi ro bị nuốt 1,0; đây không phải lý do trung tâm trả tiền cho ChấmNhanh. Không làm; xem lại nếu nhiều trung tâm đòi.</t>
        </is>
      </c>
    </row>
    <row r="11" ht="15" customHeight="1" s="33">
      <c r="A11" s="43" t="n">
        <v>7</v>
      </c>
      <c r="B11" s="40" t="inlineStr">
        <is>
          <t>Báo cáo độ lệch máy–giáo viên cho đối tác</t>
        </is>
      </c>
      <c r="C11" s="40" t="inlineStr">
        <is>
          <t>Đối tác biết máy chấm lệch giáo viên bao nhiêu</t>
        </is>
      </c>
      <c r="D11" s="40" t="inlineStr">
        <is>
          <t>Ta tin rằng gửi báo cáo độ lệch máy–giáo viên (lấy từ mẫu chấm đôi) cho trung tâm lớn sẽ giúp giữ nhóm trung tâm lớn, nơi đem lại 55% doanh thu.</t>
        </is>
      </c>
      <c r="E11" s="40" t="inlineStr">
        <is>
          <t>Gửi 1 báo cáo mỗi tháng: ≥70% bài lệch ≤0,5 điểm; 0/≥100 bài lệch &gt;1 điểm; trung tâm đối tác lớn nhất đồng ý tiếp tục sau 2 tháng; doanh thu bình quân ≥3,95 triệu/trung tâm</t>
        </is>
      </c>
      <c r="F11" s="40" t="n">
        <v>3</v>
      </c>
      <c r="G11" s="40" t="n">
        <v>5</v>
      </c>
      <c r="H11" s="40" t="n">
        <v>0.8</v>
      </c>
      <c r="I11" s="40" t="n">
        <v>2</v>
      </c>
      <c r="J11" s="40" t="n">
        <v>0.6</v>
      </c>
      <c r="K11" s="40" t="n">
        <v>0.8</v>
      </c>
      <c r="L11" s="40" t="n">
        <v>0.1</v>
      </c>
      <c r="M11" s="44">
        <f>IF(COUNT(F11:L11)&lt;7,"",ROUND(F11*G11*H11/I11*(0.5+0.5*AVERAGE(J11:K11))*(1-0.5*L11),2))</f>
        <v/>
      </c>
      <c r="N11" s="44">
        <f>IF(M11="","",RANK(M11,$M$5:$M$14))</f>
        <v/>
      </c>
      <c r="O11" s="45">
        <f>IF(B11="","",IF(OR(D11="",E11=""),"Thiếu",IF(SUMPRODUCT(--ISNUMBER(SEARCH({"0","1","2","3","4","5","6","7","8","9"},E11)))&gt;0,"Có","Thiếu")))</f>
        <v/>
      </c>
      <c r="P11" s="46" t="inlineStr">
        <is>
          <t>Tự làm</t>
        </is>
      </c>
      <c r="Q11" s="46" t="inlineStr">
        <is>
          <t>Việc nhóm thêm. Trung tâm đối tác lớn nhất đã đòi bằng chứng máy lệch giáo viên bao nhiêu, và biến nguy hiểm nhất là doanh thu bình quân (55% doanh thu đến từ 25% trung tâm lớn). Công sức thấp vì dùng lại mẫu chấm đôi 2%.</t>
        </is>
      </c>
    </row>
    <row r="12" ht="15" customHeight="1" s="33">
      <c r="A12" s="43" t="n">
        <v>8</v>
      </c>
      <c r="B12" s="40" t="n"/>
      <c r="C12" s="40" t="n"/>
      <c r="D12" s="40" t="n"/>
      <c r="E12" s="40" t="n"/>
      <c r="F12" s="40" t="n"/>
      <c r="G12" s="40" t="n"/>
      <c r="H12" s="40" t="n"/>
      <c r="I12" s="40" t="n"/>
      <c r="J12" s="40" t="n"/>
      <c r="K12" s="40" t="n"/>
      <c r="L12" s="40" t="n"/>
      <c r="M12" s="44">
        <f>IF(COUNT(F12:L12)&lt;7,"",ROUND(F12*G12*H12/I12*(0.5+0.5*AVERAGE(J12:K12))*(1-0.5*L12),2))</f>
        <v/>
      </c>
      <c r="N12" s="44">
        <f>IF(M12="","",RANK(M12,$M$5:$M$14))</f>
        <v/>
      </c>
      <c r="O12" s="45">
        <f>IF(B12="","",IF(OR(D12="",E12=""),"Thiếu",IF(SUMPRODUCT(--ISNUMBER(SEARCH({"0","1","2","3","4","5","6","7","8","9"},E12)))&gt;0,"Có","Thiếu")))</f>
        <v/>
      </c>
      <c r="P12" s="46" t="n"/>
      <c r="Q12" s="46" t="n"/>
    </row>
    <row r="13" ht="15" customHeight="1" s="33">
      <c r="A13" s="43" t="n">
        <v>9</v>
      </c>
      <c r="B13" s="40" t="n"/>
      <c r="C13" s="40" t="n"/>
      <c r="D13" s="40" t="n"/>
      <c r="E13" s="40" t="n"/>
      <c r="F13" s="40" t="n"/>
      <c r="G13" s="40" t="n"/>
      <c r="H13" s="40" t="n"/>
      <c r="I13" s="40" t="n"/>
      <c r="J13" s="40" t="n"/>
      <c r="K13" s="40" t="n"/>
      <c r="L13" s="40" t="n"/>
      <c r="M13" s="44">
        <f>IF(COUNT(F13:L13)&lt;7,"",ROUND(F13*G13*H13/I13*(0.5+0.5*AVERAGE(J13:K13))*(1-0.5*L13),2))</f>
        <v/>
      </c>
      <c r="N13" s="44">
        <f>IF(M13="","",RANK(M13,$M$5:$M$14))</f>
        <v/>
      </c>
      <c r="O13" s="45">
        <f>IF(B13="","",IF(OR(D13="",E13=""),"Thiếu",IF(SUMPRODUCT(--ISNUMBER(SEARCH({"0","1","2","3","4","5","6","7","8","9"},E13)))&gt;0,"Có","Thiếu")))</f>
        <v/>
      </c>
      <c r="P13" s="46" t="n"/>
      <c r="Q13" s="46" t="n"/>
    </row>
    <row r="14" ht="15" customHeight="1" s="33">
      <c r="A14" s="43" t="n">
        <v>10</v>
      </c>
      <c r="B14" s="40" t="n"/>
      <c r="C14" s="40" t="n"/>
      <c r="D14" s="40" t="n"/>
      <c r="E14" s="40" t="n"/>
      <c r="F14" s="40" t="n"/>
      <c r="G14" s="40" t="n"/>
      <c r="H14" s="40" t="n"/>
      <c r="I14" s="40" t="n"/>
      <c r="J14" s="40" t="n"/>
      <c r="K14" s="40" t="n"/>
      <c r="L14" s="40" t="n"/>
      <c r="M14" s="44">
        <f>IF(COUNT(F14:L14)&lt;7,"",ROUND(F14*G14*H14/I14*(0.5+0.5*AVERAGE(J14:K14))*(1-0.5*L14),2))</f>
        <v/>
      </c>
      <c r="N14" s="44">
        <f>IF(M14="","",RANK(M14,$M$5:$M$14))</f>
        <v/>
      </c>
      <c r="O14" s="45">
        <f>IF(B14="","",IF(OR(D14="",E14=""),"Thiếu",IF(SUMPRODUCT(--ISNUMBER(SEARCH({"0","1","2","3","4","5","6","7","8","9"},E14)))&gt;0,"Có","Thiếu")))</f>
        <v/>
      </c>
      <c r="P14" s="46" t="n"/>
      <c r="Q14" s="46" t="n"/>
    </row>
  </sheetData>
  <sheetProtection selectLockedCells="0" selectUnlockedCells="0" sheet="1" objects="0" insertRows="1" insertHyperlinks="1" autoFilter="1" scenarios="0" formatColumns="0" deleteColumns="1" insertColumns="1" pivotTables="1" deleteRows="1" formatCells="1" formatRows="0" sort="1"/>
  <dataValidations count="4">
    <dataValidation sqref="F5:G14 I5:I14" showDropDown="0" showInputMessage="0" showErrorMessage="1" allowBlank="1" errorTitle="Ngoài thang điểm" error="Nhập số nguyên từ 1 đến 5." type="whole" errorStyle="stop" operator="between">
      <formula1>1</formula1>
      <formula2>5</formula2>
    </dataValidation>
    <dataValidation sqref="H5:H14" showDropDown="0" showInputMessage="0" showErrorMessage="1" allowBlank="1" errorTitle="Mức tự tin" error="Dùng 0,5 (đoán), 0,8 (có dấu hiệu) hoặc 1 (có số liệu)." type="decimal" errorStyle="stop" operator="between">
      <formula1>0.5</formula1>
      <formula2>1</formula2>
    </dataValidation>
    <dataValidation sqref="J5:L14" showDropDown="0" showInputMessage="0" showErrorMessage="1" allowBlank="1" errorTitle="Ngoài thang 0–1" error="Nhập số từ 0 đến 1, ví dụ 0,6." type="decimal" errorStyle="stop" operator="between">
      <formula1>0</formula1>
      <formula2>1</formula2>
    </dataValidation>
    <dataValidation sqref="P5:P14" showDropDown="0" showInputMessage="0" showErrorMessage="0" allowBlank="1" type="list" errorStyle="stop" operator="between">
      <formula1>"Tự làm,Mua,Chờ,Không làm"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32" min="1" max="1"/>
    <col width="20" customWidth="1" style="32" min="2" max="2"/>
    <col width="34" customWidth="1" style="32" min="3" max="3"/>
    <col width="30" customWidth="1" style="32" min="4" max="4"/>
    <col width="44" customWidth="1" style="32" min="5" max="5"/>
    <col width="36" customWidth="1" style="32" min="6" max="6"/>
    <col width="12" customWidth="1" style="32" min="7" max="8"/>
    <col width="18" customWidth="1" style="32" min="9" max="9"/>
    <col width="14" customWidth="1" style="32" min="10" max="10"/>
    <col width="12" customWidth="1" style="32" min="11" max="11"/>
    <col width="13" customWidth="1" style="32" min="12" max="12"/>
    <col width="11" customWidth="1" style="32" min="13" max="13"/>
  </cols>
  <sheetData>
    <row r="1" ht="17.25" customHeight="1" s="33">
      <c r="A1" s="34" t="inlineStr">
        <is>
          <t>2 · Lộ trình tăng dần mức tự động và cổng đánh giá</t>
        </is>
      </c>
    </row>
    <row r="2" ht="15" customHeight="1" s="33">
      <c r="A2" s="35" t="inlineStr">
        <is>
          <t>Mỗi lần lên mức phải qua một cổng đánh giá bằng con số. Chưa qua cổng thì chưa lên mức, dù đã đến ngày. Mức tự động quyết định chi phí mỗi việc: xem cột H–L.</t>
        </is>
      </c>
    </row>
    <row r="4" ht="26.25" customHeight="1" s="33">
      <c r="A4" s="42" t="inlineStr">
        <is>
          <t>Mức</t>
        </is>
      </c>
      <c r="B4" s="42" t="inlineStr">
        <is>
          <t>Tên mức</t>
        </is>
      </c>
      <c r="C4" s="42" t="inlineStr">
        <is>
          <t>AI làm gì</t>
        </is>
      </c>
      <c r="D4" s="42" t="inlineStr">
        <is>
          <t>Người làm gì</t>
        </is>
      </c>
      <c r="E4" s="42" t="inlineStr">
        <is>
          <t>Cổng đánh giá để lên mức này (chỉ số + ngưỡng + cỡ mẫu)</t>
        </is>
      </c>
      <c r="F4" s="42" t="inlineStr">
        <is>
          <t>Dữ liệu / hạ tầng / tuân thủ cần có</t>
        </is>
      </c>
      <c r="G4" s="42" t="inlineStr">
        <is>
          <t>Dự kiến (kế hoạch nội bộ, không phải cam kết)</t>
        </is>
      </c>
      <c r="H4" s="42" t="inlineStr">
        <is>
          <t>% việc có người duyệt</t>
        </is>
      </c>
      <c r="I4" s="42" t="inlineStr">
        <is>
          <t>Ai duyệt</t>
        </is>
      </c>
      <c r="J4" s="42" t="inlineStr">
        <is>
          <t>Chi phí mỗi việc (đ)</t>
        </is>
      </c>
      <c r="K4" s="42" t="inlineStr">
        <is>
          <t>Biên lợi nhuận gộp</t>
        </is>
      </c>
      <c r="L4" s="42" t="inlineStr">
        <is>
          <t>Biên ≥ 60%?</t>
        </is>
      </c>
      <c r="M4" s="42" t="inlineStr">
        <is>
          <t>Cổng có con số?</t>
        </is>
      </c>
    </row>
    <row r="5" ht="48" customHeight="1" s="33">
      <c r="A5" s="43" t="n">
        <v>0</v>
      </c>
      <c r="B5" s="40" t="inlineStr">
        <is>
          <t>Gợi ý</t>
        </is>
      </c>
      <c r="C5" s="40" t="inlineStr">
        <is>
          <t>Máy chấm nháp 4 tiêu chí và viết nhận xét; chưa hiện cho học sinh</t>
        </is>
      </c>
      <c r="D5" s="40" t="inlineStr">
        <is>
          <t>Giáo viên chấm lại và quyết định điểm 100% bài</t>
        </is>
      </c>
      <c r="E5" s="40" t="inlineStr">
        <is>
          <t>Không cần cổng: đây là mức khởi đầu, giáo viên quyết định hết</t>
        </is>
      </c>
      <c r="F5" s="40" t="inlineStr">
        <is>
          <t>Chạy bản 2 trong hệ thống của trung tâm; báo giáo viên rằng đây là bản máy gợi ý</t>
        </is>
      </c>
      <c r="G5" s="40" t="inlineStr">
        <is>
          <t>Tuần 0 (đang có)</t>
        </is>
      </c>
      <c r="H5" s="47" t="n">
        <v>1</v>
      </c>
      <c r="I5" s="46" t="inlineStr">
        <is>
          <t>Người của mình</t>
        </is>
      </c>
      <c r="J5" s="48">
        <f>IF(H5="","",$B$12+$B$13+IF(I5="Người của mình",H5*$B$14*$B$15/60,0))</f>
        <v/>
      </c>
      <c r="K5" s="49">
        <f>IF(J5="","",IFERROR(($B$16-$B$17*J5)/$B$16,""))</f>
        <v/>
      </c>
      <c r="L5" s="50">
        <f>IF(K5="","",IF(K5&gt;=0.6,"Đạt","Dưới ngưỡng"))</f>
        <v/>
      </c>
    </row>
    <row r="6" ht="48" customHeight="1" s="33">
      <c r="A6" s="43" t="n">
        <v>1</v>
      </c>
      <c r="B6" s="40" t="inlineStr">
        <is>
          <t>Hỗ trợ có duyệt</t>
        </is>
      </c>
      <c r="C6" s="40" t="inlineStr">
        <is>
          <t>Máy chấm bài thường và trả điểm; tự chuyển bài vùng 5,0–6,5 và bài tầng Khó cho giáo viên</t>
        </is>
      </c>
      <c r="D6" s="40" t="inlineStr">
        <is>
          <t>Giáo viên chấm bài được chuyển sang, cô Lan chấm đôi mẫu 2% bài</t>
        </is>
      </c>
      <c r="E6" s="40" t="inlineStr">
        <is>
          <t>Chạy lại bộ đề 40 bài: số tầng tụt = 0 (hiện 1, tầng Khó); lỗi nghiêm trọng = 0/40 (bài lệch &gt;1 điểm); tỷ lệ đạt quy về thực tế ≥80% (hiện 82,6%); kappa ≥0,6 (hiện 0,80); cô Lan xác nhận</t>
        </is>
      </c>
      <c r="F6" s="40" t="inlineStr">
        <is>
          <t>Dữ liệu: thêm ca tầng Khó vào bộ đề 40 bài, gắn nhãn bài vùng 5,0–6,5. Hạ tầng: luật tự chuyển bài. Tuân thủ: báo học sinh/phụ huynh bài do AI chấm (Luật AI 134/2025/QH15, cần đối chiếu văn bản gốc)</t>
        </is>
      </c>
      <c r="G6" s="40" t="inlineStr">
        <is>
          <t>Tuần 1–6: sửa tầng Khó tuần 1–2, chạy lại 40 bài tuần 3–6</t>
        </is>
      </c>
      <c r="H6" s="47" t="n">
        <v>0.15</v>
      </c>
      <c r="I6" s="46" t="inlineStr">
        <is>
          <t>Người của mình</t>
        </is>
      </c>
      <c r="J6" s="48">
        <f>IF(H6="","",$B$12+$B$13+IF(I6="Người của mình",H6*$B$14*$B$15/60,0))</f>
        <v/>
      </c>
      <c r="K6" s="49">
        <f>IF(J6="","",IFERROR(($B$16-$B$17*J6)/$B$16,""))</f>
        <v/>
      </c>
      <c r="L6" s="50">
        <f>IF(K6="","",IF(K6&gt;=0.6,"Đạt","Dưới ngưỡng"))</f>
        <v/>
      </c>
      <c r="M6" s="50">
        <f>IF(E6="","",IF(SUMPRODUCT(--ISNUMBER(SEARCH({"0","1","2","3","4","5","6","7","8","9"},E6)))&gt;0,"Có","Thiếu"))</f>
        <v/>
      </c>
    </row>
    <row r="7" ht="48" customHeight="1" s="33">
      <c r="A7" s="43" t="n">
        <v>2</v>
      </c>
      <c r="B7" s="40" t="inlineStr">
        <is>
          <t>Tự động một phần</t>
        </is>
      </c>
      <c r="C7" s="40" t="inlineStr">
        <is>
          <t>Máy chấm và trả điểm cho bài thường; vùng chuyển giáo viên thu hẹp lại</t>
        </is>
      </c>
      <c r="D7" s="40" t="inlineStr">
        <is>
          <t>Giáo viên duyệt khoảng 10% bài (vùng ranh giới hẹp + mẫu chấm đôi)</t>
        </is>
      </c>
      <c r="E7" s="40" t="inlineStr">
        <is>
          <t>Chấm đôi ≥100 bài thật: 0 bài lệch &gt;1 điểm (giới hạn trên ≈3/100 = 3%); ≥70% bài lệch ≤0,5 điểm (không đặt cao hơn mức hai giáo viên giỏi khớp nhau); số tầng tụt = 0; tỷ lệ đạt quy về thực tế ≥80%; cô Lan xác nhận</t>
        </is>
      </c>
      <c r="F7" s="40" t="inlineStr">
        <is>
          <t>Đã có mẫu chấm đôi đủ 100 bài (khoảng 5 tuần); báo cáo độ lệch gửi được cho đối tác; nhật ký bài chuyển giáo viên</t>
        </is>
      </c>
      <c r="G7" s="40" t="inlineStr">
        <is>
          <t>Tháng 3–6, chỉ khi qua cổng</t>
        </is>
      </c>
      <c r="H7" s="47" t="n">
        <v>0.1</v>
      </c>
      <c r="I7" s="46" t="inlineStr">
        <is>
          <t>Người của mình</t>
        </is>
      </c>
      <c r="J7" s="48">
        <f>IF(H7="","",$B$12+$B$13+IF(I7="Người của mình",H7*$B$14*$B$15/60,0))</f>
        <v/>
      </c>
      <c r="K7" s="49">
        <f>IF(J7="","",IFERROR(($B$16-$B$17*J7)/$B$16,""))</f>
        <v/>
      </c>
      <c r="L7" s="50">
        <f>IF(K7="","",IF(K7&gt;=0.6,"Đạt","Dưới ngưỡng"))</f>
        <v/>
      </c>
      <c r="M7" s="50">
        <f>IF(E7="","",IF(SUMPRODUCT(--ISNUMBER(SEARCH({"0","1","2","3","4","5","6","7","8","9"},E7)))&gt;0,"Có","Thiếu"))</f>
        <v/>
      </c>
    </row>
    <row r="8" ht="48" customHeight="1" s="33">
      <c r="A8" s="43" t="n">
        <v>3</v>
      </c>
      <c r="B8" s="40" t="inlineStr">
        <is>
          <t>Tự động có giám sát</t>
        </is>
      </c>
      <c r="C8" s="40" t="inlineStr">
        <is>
          <t>Máy chấm và trả điểm bài thường; chỉ chuyển vùng ranh giới hẹp nhất</t>
        </is>
      </c>
      <c r="D8" s="40" t="inlineStr">
        <is>
          <t>Giáo viên chấm mẫu khoảng 5% để giám sát; học sinh gọi lại giáo viên khi không đồng ý</t>
        </is>
      </c>
      <c r="E8" s="40" t="inlineStr">
        <is>
          <t>Chấm đôi ≥200 bài (3/200 = 1,5%) qua 2 đợt liên tiếp: 0 bài lệch &gt;1 điểm; ≥70% bài lệch ≤0,5 điểm; tỷ lệ đạt quy về thực tế ≥80%; khiếu nại của phụ huynh vì lệch điểm ≤2 lần/quý; ban lãnh đạo ký</t>
        </is>
      </c>
      <c r="F8" s="40" t="inlineStr">
        <is>
          <t>Quy trình khiếu nại và gọi lại giáo viên; giám sát mẫu hằng tuần; rà lại phân loại rủi ro theo Luật AI</t>
        </is>
      </c>
      <c r="G8" s="40" t="inlineStr">
        <is>
          <t>Tháng 7–12, định hướng khám phá, không phải cam kết</t>
        </is>
      </c>
      <c r="H8" s="47" t="n">
        <v>0.05</v>
      </c>
      <c r="I8" s="46" t="inlineStr">
        <is>
          <t>Người của mình</t>
        </is>
      </c>
      <c r="J8" s="48">
        <f>IF(H8="","",$B$12+$B$13+IF(I8="Người của mình",H8*$B$14*$B$15/60,0))</f>
        <v/>
      </c>
      <c r="K8" s="49">
        <f>IF(J8="","",IFERROR(($B$16-$B$17*J8)/$B$16,""))</f>
        <v/>
      </c>
      <c r="L8" s="50">
        <f>IF(K8="","",IF(K8&gt;=0.6,"Đạt","Dưới ngưỡng"))</f>
        <v/>
      </c>
      <c r="M8" s="50">
        <f>IF(E8="","",IF(SUMPRODUCT(--ISNUMBER(SEARCH({"0","1","2","3","4","5","6","7","8","9"},E8)))&gt;0,"Có","Thiếu"))</f>
        <v/>
      </c>
    </row>
    <row r="11" ht="15" customHeight="1" s="33">
      <c r="A11" s="41" t="inlineStr">
        <is>
          <t>SỐ LIỆU KINH TẾ CỦA ĐỀ (đã điền sẵn từ hồ sơ tình huống; sửa được nếu nhóm có lý do)</t>
        </is>
      </c>
    </row>
    <row r="12" ht="15" customHeight="1" s="33">
      <c r="A12" s="51" t="inlineStr">
        <is>
          <t>Chi phí gọi AI / việc (đã tính gọi lại)</t>
        </is>
      </c>
      <c r="B12" s="52" t="n">
        <v>769</v>
      </c>
      <c r="C12" s="53" t="inlineStr">
        <is>
          <t>Hồ sơ, bảng Số liệu kinh tế, dòng 1</t>
        </is>
      </c>
    </row>
    <row r="13" ht="15" customHeight="1" s="33">
      <c r="A13" s="51" t="inlineStr">
        <is>
          <t>Hạ tầng + đánh giá + khác / việc</t>
        </is>
      </c>
      <c r="B13" s="52" t="n">
        <v>250</v>
      </c>
      <c r="C13" s="53" t="inlineStr">
        <is>
          <t>dòng 2</t>
        </is>
      </c>
    </row>
    <row r="14" ht="15" customHeight="1" s="33">
      <c r="A14" s="51" t="inlineStr">
        <is>
          <t>Số phút người duyệt / việc</t>
        </is>
      </c>
      <c r="B14" s="54" t="n">
        <v>3</v>
      </c>
      <c r="C14" s="53" t="inlineStr">
        <is>
          <t>dòng 3</t>
        </is>
      </c>
    </row>
    <row r="15" ht="15" customHeight="1" s="33">
      <c r="A15" s="51" t="inlineStr">
        <is>
          <t>Chi phí 1 giờ người duyệt (đ)</t>
        </is>
      </c>
      <c r="B15" s="52" t="n">
        <v>120000</v>
      </c>
      <c r="C15" s="53" t="inlineStr">
        <is>
          <t>dòng 4</t>
        </is>
      </c>
    </row>
    <row r="16" ht="15" customHeight="1" s="33">
      <c r="A16" s="51" t="inlineStr">
        <is>
          <t>Doanh thu bình quân / khách / tháng (đ)</t>
        </is>
      </c>
      <c r="B16" s="52" t="n">
        <v>5210000</v>
      </c>
      <c r="C16" s="53" t="inlineStr">
        <is>
          <t>dòng 5</t>
        </is>
      </c>
    </row>
    <row r="17" ht="15" customHeight="1" s="33">
      <c r="A17" s="51" t="inlineStr">
        <is>
          <t>Số việc bình quân / khách / tháng</t>
        </is>
      </c>
      <c r="B17" s="52" t="n">
        <v>1000</v>
      </c>
      <c r="C17" s="53" t="inlineStr">
        <is>
          <t>dòng 6</t>
        </is>
      </c>
    </row>
    <row r="18" ht="15" customHeight="1" s="33">
      <c r="A18" s="51" t="inlineStr">
        <is>
          <t>Biến nguy hiểm nhất</t>
        </is>
      </c>
      <c r="B18" s="46" t="inlineStr">
        <is>
          <t>Doanh thu bình quân (55% doanh thu đến từ 25% trung tâm lớn)</t>
        </is>
      </c>
      <c r="C18" s="53" t="inlineStr">
        <is>
          <t>dòng 7</t>
        </is>
      </c>
    </row>
    <row r="19" ht="15" customHeight="1" s="33">
      <c r="A19" s="51" t="inlineStr">
        <is>
          <t>Điều kiện dừng đã chọn (theo đề)</t>
        </is>
      </c>
      <c r="B19" s="46" t="inlineStr">
        <is>
          <t>NẾU doanh thu bình quân sau chia dưới 3,95 triệu/trung tâm trong 2 tháng liên tiếp, trên ít nhất 15 trung tâm, THÌ dừng mở rộng</t>
        </is>
      </c>
      <c r="C19" s="53" t="inlineStr">
        <is>
          <t>dòng 8</t>
        </is>
      </c>
    </row>
    <row r="20" ht="15" customHeight="1" s="33">
      <c r="A20" s="51" t="inlineStr">
        <is>
          <t>Kịch bản xấu hết tiền ở tháng</t>
        </is>
      </c>
      <c r="B20" s="55" t="n">
        <v>17</v>
      </c>
      <c r="C20" s="53" t="inlineStr">
        <is>
          <t>dòng 9</t>
        </is>
      </c>
    </row>
    <row r="22" ht="15" customHeight="1" s="33">
      <c r="A22" s="53" t="inlineStr">
        <is>
          <t>Ghi chú: người duyệt của mình là giáo viên duyệt bài do công ty trả tiền. Hai giáo viên giỏi chỉ khớp nhau khoảng 70% trong phạm vi 0,5 điểm: đừng đặt cổng cao hơn mức đó.</t>
        </is>
      </c>
    </row>
    <row r="23" ht="15" customHeight="1" s="33">
      <c r="A23" s="53" t="n"/>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I5:I8" showDropDown="0" showInputMessage="0" showErrorMessage="0" allowBlank="1" type="list" errorStyle="stop" operator="between">
      <formula1>"Người của mình,Nhân viên cửa hàng"</formula1>
      <formula2>0</formula2>
    </dataValidation>
    <dataValidation sqref="H5:H8" showDropDown="0" showInputMessage="0" showErrorMessage="0" allowBlank="1" type="decimal" errorStyle="stop"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2" min="1" max="1"/>
    <col width="42" customWidth="1" style="32" min="2" max="4"/>
  </cols>
  <sheetData>
    <row r="1" ht="17.25" customHeight="1" s="33">
      <c r="A1" s="34" t="inlineStr">
        <is>
          <t>3 · Bảng lộ trình theo giả thuyết: Bây giờ / Tiếp theo / Sau này</t>
        </is>
      </c>
    </row>
    <row r="2" ht="15" customHeight="1" s="33">
      <c r="A2" s="35" t="inlineStr">
        <is>
          <t>Bây giờ = cam kết (0–3 tháng) · Tiếp theo = định hướng (3–6 tháng) · Sau này = khám phá (6–12 tháng). Càng xa càng ít chi tiết.</t>
        </is>
      </c>
    </row>
    <row r="4" ht="15" customHeight="1" s="33">
      <c r="A4" s="42" t="inlineStr">
        <is>
          <t>Dòng</t>
        </is>
      </c>
      <c r="B4" s="42" t="inlineStr">
        <is>
          <t>Bây giờ (0–3 tháng)</t>
        </is>
      </c>
      <c r="C4" s="42" t="inlineStr">
        <is>
          <t>Tiếp theo (3–6 tháng)</t>
        </is>
      </c>
      <c r="D4" s="42" t="inlineStr">
        <is>
          <t>Sau này (6–12 tháng)</t>
        </is>
      </c>
    </row>
    <row r="5" ht="48" customHeight="1" s="33">
      <c r="A5" s="56" t="inlineStr">
        <is>
          <t>Việc chính (lấy từ trang 1)</t>
        </is>
      </c>
      <c r="B5" s="40" t="inlineStr">
        <is>
          <t>Việc 3 (xếp 1): chuyển bài cho giáo viên đúng lúc, gồm sửa tầng Khó đang tụt. Việc 1: chấm 4 tiêu chí bài thường. Việc 7: báo cáo độ lệch máy–giáo viên cho đối tác. Việc 4: mua công cụ ngữ pháp có sẵn.</t>
        </is>
      </c>
      <c r="C5" s="40" t="inlineStr">
        <is>
          <t>Việc 2: nhận xét có trích câu và gợi ý sửa, khi đã có cách đo 'học sinh sửa được bài sau'. Mở thêm trung tâm nếu qua cổng Mức 2.</t>
        </is>
      </c>
      <c r="D5" s="40" t="inlineStr">
        <is>
          <t>Việc 5: báo cáo tiến bộ cho phụ huynh, sau khi đủ khoảng 3 tháng dữ liệu điểm. Việc 6 (tạo đề) không làm, xem lại nếu khách đòi.</t>
        </is>
      </c>
    </row>
    <row r="6" ht="48" customHeight="1" s="33">
      <c r="A6" s="56" t="inlineStr">
        <is>
          <t>Giả thuyết</t>
        </is>
      </c>
      <c r="B6" s="40" t="inlineStr">
        <is>
          <t>Ta tin rằng chuyển đúng bài vùng 5,0–6,5 và bài tầng Khó cho giáo viên sẽ giúp máy chấm bài thường, giáo viên bớt 60% giờ chấm mà không bài khó nào bị lệch quá 1 điểm.</t>
        </is>
      </c>
      <c r="C6" s="40" t="inlineStr">
        <is>
          <t>Ta tin rằng nhận xét có trích câu giúp học sinh sửa được bài ở lần sau.</t>
        </is>
      </c>
      <c r="D6" s="40" t="inlineStr">
        <is>
          <t>Ta tin rằng báo cáo tiến bộ giúp phụ huynh gia hạn khoá học.</t>
        </is>
      </c>
    </row>
    <row r="7" ht="48" customHeight="1" s="33">
      <c r="A7" s="56" t="inlineStr">
        <is>
          <t>Chỉ số thành công và ngưỡng</t>
        </is>
      </c>
      <c r="B7" s="40" t="inlineStr">
        <is>
          <t>Số tầng tụt từ 1 về 0 trên bộ đề 40 bài; 0 bài lệch &gt;1 điểm trong mẫu chấm đôi; ≥70% bài lệch ≤0,5 điểm; giáo viên bớt ≥60% giờ chấm bài thường; tỷ lệ đạt quy về thực tế ≥80%.</t>
        </is>
      </c>
      <c r="C7" s="40" t="inlineStr">
        <is>
          <t>Tỷ lệ học sinh nộp bản sửa có điểm cao hơn bản đầu; ngưỡng đặt sau 4 tuần đo cơ sở.</t>
        </is>
      </c>
      <c r="D7" s="40" t="inlineStr">
        <is>
          <t>Tỷ lệ gia hạn khoá của phụ huynh nhận báo cáo so với nhóm không nhận; ngưỡng đặt khi có khoảng 3 tháng dữ liệu.</t>
        </is>
      </c>
    </row>
    <row r="8" ht="48" customHeight="1" s="33">
      <c r="A8" s="56" t="inlineStr">
        <is>
          <t>Mức tự động (trang 2)</t>
        </is>
      </c>
      <c r="B8" s="40" t="inlineStr">
        <is>
          <t>Mức 1 (Hỗ trợ có duyệt): máy chấm bài thường, giáo viên duyệt khoảng 15% bài (vùng 5,0–6,5 + mẫu 2%).</t>
        </is>
      </c>
      <c r="C8" s="40" t="inlineStr">
        <is>
          <t>Mức 2 (Tự động một phần): giáo viên duyệt khoảng 10% bài, chỉ lên khi qua cổng.</t>
        </is>
      </c>
      <c r="D8" s="40" t="inlineStr">
        <is>
          <t>Mức 3 (Tự động có giám sát): giáo viên chấm mẫu khoảng 5%; chỉ thăm dò, không cam kết.</t>
        </is>
      </c>
    </row>
    <row r="9" ht="48" customHeight="1" s="33">
      <c r="A9" s="56" t="inlineStr">
        <is>
          <t>Cổng đánh giá</t>
        </is>
      </c>
      <c r="B9" s="40" t="inlineStr">
        <is>
          <t>Cổng lên Mức 1: chạy lại bộ đề 40 bài; số tầng tụt = 0, lỗi nghiêm trọng 0/40, đạt quy về thực tế ≥80%, kappa ≥0,6; cô Lan xác nhận.</t>
        </is>
      </c>
      <c r="C9" s="40" t="inlineStr">
        <is>
          <t>Cổng lên Mức 2: chấm đôi ≥100 bài thật, 0 bài lệch &gt;1 điểm (≈3/100 = 3%), ≥70% bài lệch ≤0,5 điểm.</t>
        </is>
      </c>
      <c r="D9" s="40" t="inlineStr">
        <is>
          <t>Cổng lên Mức 3: chấm đôi ≥200 bài qua 2 đợt, 0 bài lệch &gt;1 điểm (3/200 = 1,5%), khiếu nại ≤2 lần/quý.</t>
        </is>
      </c>
    </row>
    <row r="10" ht="48" customHeight="1" s="33">
      <c r="A10" s="56" t="inlineStr">
        <is>
          <t>Điều kiện cần: dữ liệu / hạ tầng / tuân thủ</t>
        </is>
      </c>
      <c r="B10" s="40" t="inlineStr">
        <is>
          <t>Chuyên gia: cô Lan và thầy Khoa mỗi người 2 giờ/tuần, tổng 4 giờ/tuần; 1 vòng chạy lại 40 bài tốn 14,2 giờ ≈ 3,5 tuần, nên 12 tuần chỉ chạy được 1–2 vòng. Mẫu chấm đôi 2% chỉ khả thi với ≤ khoảng 550 bài thử nghiệm/tuần (ước tính 2 giờ ≈ 11 bài). Dữ liệu: nhãn bài vùng 5,0–6,5. Tuân thủ: thông báo bài do AI chấm (Luật AI 134/2025/QH15).</t>
        </is>
      </c>
      <c r="C10" s="40" t="inlineStr">
        <is>
          <t>Cần ≥100 bài chấm đôi (khoảng 5 tuần); báo cáo độ lệch cho đối tác; dữ liệu điểm học sinh bắt đầu đủ sau khoảng 3 tháng.</t>
        </is>
      </c>
      <c r="D10" s="40" t="inlineStr">
        <is>
          <t>Quy trình khiếu nại và gọi lại giáo viên; dữ liệu điểm đủ để báo cáo tiến bộ; rà lại phân loại rủi ro theo luật.</t>
        </is>
      </c>
    </row>
    <row r="11" ht="48" customHeight="1" s="33">
      <c r="A11" s="56" t="inlineStr">
        <is>
          <t>Căn cứ kinh tế (số liệu của đề và trang 2)</t>
        </is>
      </c>
      <c r="B11" s="40" t="inlineStr">
        <is>
          <t>Doanh thu 5,21 triệu/trung tâm/tháng (sau chia 20%), 1.000 bài → 5.210 đ/bài. Chi phí Mức 1 duyệt 15% = 769 + 250 + 0,15×3 phút×120.000 đ/60 = 1.919 đ/bài → biên gộp 63,2% (≥60%). Mức 0 duyệt 100% = 7.019 đ/bài, lỗ. Duyệt quá 17,7% thì biên dưới 60%.</t>
        </is>
      </c>
      <c r="C11" s="40" t="inlineStr">
        <is>
          <t>Mức 2 duyệt 10%: 1.619 đ/bài, biên 68,9%. Kịch bản xấu của đề: hết tiền ở tháng 17.</t>
        </is>
      </c>
      <c r="D11" s="40" t="inlineStr">
        <is>
          <t>Mức 3 duyệt 5%: 1.319 đ/bài, biên 74,7%. Biến nguy hiểm nhất: doanh thu bình quân (55% đến từ 25% trung tâm lớn).</t>
        </is>
      </c>
    </row>
    <row r="12" ht="48" customHeight="1" s="33">
      <c r="A12" s="56" t="inlineStr">
        <is>
          <t>Điều kiện dừng / đổi hướng</t>
        </is>
      </c>
      <c r="B12" s="40" t="inlineStr">
        <is>
          <t>NẾU sau khi chạy lại bộ đề 40 bài (tuần 6) số tầng tụt vẫn ≥1, hoặc mẫu chấm đôi ngày 60 có ≥1 bài lệch &gt;1 điểm, THÌ lùi về Mức 0, không mở thêm trung tâm. NẾU doanh thu bình quân sau chia &lt;3,95 triệu/trung tâm 2 tháng liên tiếp trên ≥15 trung tâm THÌ dừng mở rộng.</t>
        </is>
      </c>
      <c r="C12" s="40" t="inlineStr">
        <is>
          <t>NẾU 1 trung tâm lớn rút hoặc doanh thu bình quân giảm &gt;10% so với 5,21 triệu THÌ xem lại giá và mức tự động.</t>
        </is>
      </c>
      <c r="D12" s="40" t="inlineStr">
        <is>
          <t>NẾU gia hạn khoá không tăng sau 3 tháng báo cáo tiến bộ THÌ dừng việc 5.</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2" min="1" max="1"/>
    <col width="40" customWidth="1" style="32" min="2" max="3"/>
    <col width="28" customWidth="1" style="32" min="4" max="4"/>
  </cols>
  <sheetData>
    <row r="1" ht="17.25" customHeight="1" s="33">
      <c r="A1" s="34" t="inlineStr">
        <is>
          <t>4 · Lịch rà soát lộ trình</t>
        </is>
      </c>
    </row>
    <row r="2" ht="15" customHeight="1" s="33">
      <c r="A2" s="35" t="inlineStr">
        <is>
          <t>Rà soát theo lịch VÀ mỗi khi có sự kiện. Ở mốc 30/60/90 chọn 1 trong 4: đi tiếp, sửa, đổi hướng, dừng.</t>
        </is>
      </c>
    </row>
    <row r="4" ht="15" customHeight="1" s="33">
      <c r="A4" s="42" t="inlineStr">
        <is>
          <t>Mốc / sự kiện</t>
        </is>
      </c>
      <c r="B4" s="42" t="inlineStr">
        <is>
          <t>Nhìn vào chỉ số nào</t>
        </is>
      </c>
      <c r="C4" s="42" t="inlineStr">
        <is>
          <t>Quyết định có thể đưa ra</t>
        </is>
      </c>
      <c r="D4" s="42" t="inlineStr">
        <is>
          <t>Ai quyết</t>
        </is>
      </c>
    </row>
    <row r="5" ht="15" customHeight="1" s="33">
      <c r="A5" s="40" t="inlineStr">
        <is>
          <t>Ngày 30</t>
        </is>
      </c>
      <c r="B5" s="40" t="inlineStr">
        <is>
          <t>Số bài lệch &gt;1 điểm trong mẫu chấm đôi 2%; tầng Khó đã sửa xong chưa; tỷ lệ bài chuyển cho giáo viên</t>
        </is>
      </c>
      <c r="C5" s="40" t="inlineStr">
        <is>
          <t>Đi tiếp, sửa, hoặc lùi về Mức 0 nếu có ≥1 bài lệch &gt;1 điểm</t>
        </is>
      </c>
      <c r="D5" s="40" t="inlineStr">
        <is>
          <t>Cô Lan (tổ trưởng) cùng kỹ sư</t>
        </is>
      </c>
    </row>
    <row r="6" ht="15" customHeight="1" s="33">
      <c r="A6" s="40" t="inlineStr">
        <is>
          <t>Ngày 60</t>
        </is>
      </c>
      <c r="B6" s="40" t="inlineStr">
        <is>
          <t>Kết quả chạy lại bộ đề 40 bài: số tầng tụt, kappa, tỷ lệ đạt quy về thực tế; giờ giáo viên thật đã bớt</t>
        </is>
      </c>
      <c r="C6" s="40" t="inlineStr">
        <is>
          <t>Đi tiếp, sửa hoặc đổi hướng; chỉ mở Mức 2 khi qua cổng</t>
        </is>
      </c>
      <c r="D6" s="40" t="inlineStr">
        <is>
          <t>Cô Lan và trưởng sản phẩm</t>
        </is>
      </c>
    </row>
    <row r="7" ht="15" customHeight="1" s="33">
      <c r="A7" s="40" t="inlineStr">
        <is>
          <t>Ngày 90</t>
        </is>
      </c>
      <c r="B7" s="40" t="inlineStr">
        <is>
          <t>Doanh thu bình quân/trung tâm (2 tháng liên tiếp, ≥15 trung tâm) và độ lệch máy–giáo viên; chưa dùng giá trị vòng đời vì mới 3 tháng</t>
        </is>
      </c>
      <c r="C7" s="40" t="inlineStr">
        <is>
          <t>Đi tiếp, sửa, đổi hướng hoặc dừng mở rộng</t>
        </is>
      </c>
      <c r="D7" s="40" t="inlineStr">
        <is>
          <t>Ban lãnh đạo</t>
        </is>
      </c>
    </row>
    <row r="8" ht="15" customHeight="1" s="33">
      <c r="A8" s="40" t="inlineStr">
        <is>
          <t>Có mô hình mới / giá gọi AI giảm mạnh</t>
        </is>
      </c>
      <c r="B8" s="40" t="inlineStr">
        <is>
          <t>Chi phí gọi AI mỗi bài (hiện 769 đ) và tỷ lệ đạt trên bộ đề 40 bài khi chạy với mô hình mới</t>
        </is>
      </c>
      <c r="C8" s="40" t="inlineStr">
        <is>
          <t>Đổi mô hình nếu tỷ lệ đạt ≥80% và không tầng nào tụt; xem lại giá</t>
        </is>
      </c>
      <c r="D8" s="40" t="inlineStr">
        <is>
          <t>Kỹ sư trưởng và cô Lan</t>
        </is>
      </c>
    </row>
    <row r="9" ht="15" customHeight="1" s="33">
      <c r="A9" s="40" t="inlineStr">
        <is>
          <t>Nền tảng hoặc đối thủ ra tính năng tương tự</t>
        </is>
      </c>
      <c r="B9" s="40" t="inlineStr">
        <is>
          <t>Công cụ miễn phí có chấm đúng theo tiêu chí trung tâm không (so trên bộ đề 40 bài); số trung tâm hỏi tính năng tương tự</t>
        </is>
      </c>
      <c r="C9" s="40" t="inlineStr">
        <is>
          <t>Đi tiếp, đổi hướng sang báo cáo độ lệch và tích hợp, hoặc giảm giá</t>
        </is>
      </c>
      <c r="D9" s="40" t="inlineStr">
        <is>
          <t>Trưởng sản phẩm và ban lãnh đạo</t>
        </is>
      </c>
    </row>
    <row r="10" ht="15" customHeight="1" s="33">
      <c r="A10" s="40" t="inlineStr">
        <is>
          <t>Quy định pháp lý thay đổi</t>
        </is>
      </c>
      <c r="B10" s="40" t="inlineStr">
        <is>
          <t>Luật AI 134/2025/QH15 và văn bản hướng dẫn: mức rủi ro của chấm điểm, yêu cầu thông báo người dùng</t>
        </is>
      </c>
      <c r="C10" s="40" t="inlineStr">
        <is>
          <t>Tăng % bài giáo viên duyệt, lùi mức tự động, bổ sung thông báo</t>
        </is>
      </c>
      <c r="D10" s="40" t="inlineStr">
        <is>
          <t>Ban lãnh đạo cùng người phụ trách pháp lý</t>
        </is>
      </c>
    </row>
    <row r="12" ht="15" customHeight="1" s="33">
      <c r="A12" s="53" t="inlineStr">
        <is>
          <t>Ngày 90 chưa đo được giá trị vòng đời thật: khách mới dùng 3 tháng. Chỉ dùng chỉ số đã có đủ dữ liệu.</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90" customWidth="1" style="32" min="2" max="2"/>
    <col width="8" customWidth="1" style="32" min="3" max="3"/>
    <col width="12" customWidth="1" style="32" min="4" max="4"/>
  </cols>
  <sheetData>
    <row r="1" ht="17.25" customHeight="1" s="33">
      <c r="A1" s="34" t="inlineStr">
        <is>
          <t>5 · Lộ trình 1 slide cho lãnh đạo</t>
        </is>
      </c>
    </row>
    <row r="2" ht="15" customHeight="1" s="33">
      <c r="A2" s="35" t="inlineStr">
        <is>
          <t>Kết luận trước. Không quá 60 chữ mỗi ô (cột C tự đếm).</t>
        </is>
      </c>
    </row>
    <row r="3" ht="15" customHeight="1" s="33">
      <c r="C3" s="57" t="inlineStr">
        <is>
          <t>Số chữ</t>
        </is>
      </c>
      <c r="D3" s="57" t="inlineStr">
        <is>
          <t>Đạt?</t>
        </is>
      </c>
    </row>
    <row r="4" ht="33.75" customHeight="1" s="33">
      <c r="A4" s="57" t="inlineStr">
        <is>
          <t>Kết luận (1 câu)</t>
        </is>
      </c>
      <c r="B4" s="40" t="inlineStr">
        <is>
          <t>Làm trước việc chuyển bài khó cho giáo viên và sửa tầng Khó; chỉ tăng mức tự động khi qua cổng đo bằng số. Mức 1: duyệt 15% bài, 1.919 đ/bài, biên gộp 63,2%.</t>
        </is>
      </c>
      <c r="C4" s="58">
        <f>IF(TRIM(B4)="",0,LEN(TRIM(B4))-LEN(SUBSTITUTE(TRIM(B4)," ",""))+1)</f>
        <v/>
      </c>
      <c r="D4" s="50">
        <f>IF(C4=0,"Trống",IF(C4&gt;60,"Quá 60 chữ","Đạt"))</f>
        <v/>
      </c>
    </row>
    <row r="5" ht="33.75" customHeight="1" s="33">
      <c r="A5" s="57" t="inlineStr">
        <is>
          <t>3 việc chính</t>
        </is>
      </c>
      <c r="B5" s="40" t="inlineStr">
        <is>
          <t>1) Chuyển bài cho giáo viên đúng lúc, sửa tầng Khó đang tụt (tuần 1–2; chạy lại 40 bài tuần 3–6). 2) Chấm 4 tiêu chí cho bài thường, giáo viên bớt 60% giờ chấm. 3) Báo cáo độ lệch máy–giáo viên cho đối tác lớn nhất (≥70% bài lệch ≤0,5 điểm).</t>
        </is>
      </c>
      <c r="C5" s="58">
        <f>IF(TRIM(B5)="",0,LEN(TRIM(B5))-LEN(SUBSTITUTE(TRIM(B5)," ",""))+1)</f>
        <v/>
      </c>
      <c r="D5" s="50">
        <f>IF(C5=0,"Trống",IF(C5&gt;60,"Quá 60 chữ","Đạt"))</f>
        <v/>
      </c>
    </row>
    <row r="6" ht="33.75" customHeight="1" s="33">
      <c r="A6" s="57" t="inlineStr">
        <is>
          <t>Cần gì (người, tiền, dữ liệu)</t>
        </is>
      </c>
      <c r="B6" s="40" t="inlineStr">
        <is>
          <t>Chuyên gia: cô Lan và thầy Khoa, mỗi người 2 giờ/tuần (1 vòng chạy lại 40 bài tốn 14,2 giờ). Kỹ sư: sửa tầng Khó. Dữ liệu: thêm ca Khó, gắn nhãn bài vùng 5,0–6,5. Tiền: kịch bản xấu hết ở tháng 17, nên chưa mở rộng trước khi qua cổng Mức 1.</t>
        </is>
      </c>
      <c r="C6" s="58">
        <f>IF(TRIM(B6)="",0,LEN(TRIM(B6))-LEN(SUBSTITUTE(TRIM(B6)," ",""))+1)</f>
        <v/>
      </c>
      <c r="D6" s="50">
        <f>IF(C6=0,"Trống",IF(C6&gt;60,"Quá 60 chữ","Đạt"))</f>
        <v/>
      </c>
    </row>
    <row r="7" ht="33.75" customHeight="1" s="33">
      <c r="A7" s="57" t="inlineStr">
        <is>
          <t>Rủi ro lớn nhất &amp; cách xử lý</t>
        </is>
      </c>
      <c r="B7" s="40" t="inlineStr">
        <is>
          <t>Doanh thu bình quân: 55% đến từ 25% trung tâm lớn. Xử lý: gửi đối tác lớn nhất báo cáo độ lệch. Nếu doanh thu sau chia dưới 3,95 triệu/trung tâm 2 tháng liên tiếp trên ≥15 trung tâm thì dừng mở rộng; nếu ngày 60 có 1 bài lệch quá 1 điểm thì lùi về Mức 0.</t>
        </is>
      </c>
      <c r="C7" s="58">
        <f>IF(TRIM(B7)="",0,LEN(TRIM(B7))-LEN(SUBSTITUTE(TRIM(B7)," ",""))+1)</f>
        <v/>
      </c>
      <c r="D7" s="50">
        <f>IF(C7=0,"Trống",IF(C7&gt;60,"Quá 60 chữ","Đạt"))</f>
        <v/>
      </c>
    </row>
    <row r="8" ht="33.75" customHeight="1" s="33">
      <c r="A8" s="57" t="inlineStr">
        <is>
          <t>Khi nào xem lại</t>
        </is>
      </c>
      <c r="B8" s="40" t="inlineStr">
        <is>
          <t>Ngày 30: tầng Khó đã sửa, mẫu chấm đôi. Ngày 60: kết quả chạy lại 40 bài, quyết định mở Mức 2. Ngày 90: doanh thu bình quân và độ lệch máy–giáo viên. Ngoài lịch: đổi mô hình, đối thủ ra tính năng tương tự, luật đổi.</t>
        </is>
      </c>
      <c r="C8" s="58">
        <f>IF(TRIM(B8)="",0,LEN(TRIM(B8))-LEN(SUBSTITUTE(TRIM(B8)," ",""))+1)</f>
        <v/>
      </c>
      <c r="D8" s="50">
        <f>IF(C8=0,"Trống",IF(C8&gt;60,"Quá 60 chữ","Đạt"))</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6" customWidth="1" style="32" min="1" max="1"/>
    <col width="14" customWidth="1" style="32" min="2" max="3"/>
  </cols>
  <sheetData>
    <row r="1" ht="17.25" customHeight="1" s="33">
      <c r="A1" s="34" t="inlineStr">
        <is>
          <t>6 · Tự kiểm tra</t>
        </is>
      </c>
    </row>
    <row r="2" ht="15" customHeight="1" s="33">
      <c r="A2" s="35" t="inlineStr">
        <is>
          <t>Chưa 'Đạt' thì quay lại sửa trước khi nộp file.</t>
        </is>
      </c>
    </row>
    <row r="4" ht="15" customHeight="1" s="33">
      <c r="A4" s="42" t="inlineStr">
        <is>
          <t>Điểm kiểm tra</t>
        </is>
      </c>
      <c r="B4" s="42" t="inlineStr">
        <is>
          <t>Kết quả</t>
        </is>
      </c>
      <c r="C4" s="42" t="inlineStr">
        <is>
          <t>Đạt?</t>
        </is>
      </c>
    </row>
    <row r="5" ht="15" customHeight="1" s="33">
      <c r="A5" s="43" t="inlineStr">
        <is>
          <t>Số việc đã chấm điểm (cần ≥ 5)</t>
        </is>
      </c>
      <c r="B5" s="44">
        <f>COUNT('1_Danh sách việc'!M5:M14)</f>
        <v/>
      </c>
      <c r="C5" s="44">
        <f>IF(B5&gt;=5,"Đạt","Xem lại")</f>
        <v/>
      </c>
    </row>
    <row r="6" ht="15" customHeight="1" s="33">
      <c r="A6" s="43" t="inlineStr">
        <is>
          <t>Việc được giữ lại mà thiếu giả thuyết hoặc chỉ số có con số (cần = 0)</t>
        </is>
      </c>
      <c r="B6" s="44">
        <f>COUNTIFS('1_Danh sách việc'!O5:O14,"Thiếu",'1_Danh sách việc'!P5:P14,"&lt;&gt;Không làm")</f>
        <v/>
      </c>
      <c r="C6" s="44">
        <f>IF(B5=0,"",IF(B6=0,"Đạt","Xem lại"))</f>
        <v/>
      </c>
    </row>
    <row r="7" ht="15" customHeight="1" s="33">
      <c r="A7" s="43" t="inlineStr">
        <is>
          <t>Số mức tự động có cổng đánh giá kèm con số (cần ≥ 2, không tính Mức 0)</t>
        </is>
      </c>
      <c r="B7" s="44">
        <f>COUNTIF('2_Mức tự động'!M6:M8,"Có")</f>
        <v/>
      </c>
      <c r="C7" s="44">
        <f>IF(B7&gt;=2,"Đạt","Xem lại")</f>
        <v/>
      </c>
    </row>
    <row r="8" ht="15" customHeight="1" s="33">
      <c r="A8" s="43" t="inlineStr">
        <is>
          <t>Bảng lộ trình: số ô tầng 'Bây giờ' đã điền (cần 8/8)</t>
        </is>
      </c>
      <c r="B8" s="44">
        <f>COUNTA('3_Bảng lộ trình'!B5:B12)</f>
        <v/>
      </c>
      <c r="C8" s="44">
        <f>IF(B8=8,"Đạt","Xem lại")</f>
        <v/>
      </c>
    </row>
    <row r="9" ht="15" customHeight="1" s="33">
      <c r="A9" s="43" t="inlineStr">
        <is>
          <t>Điều kiện dừng tầng 'Bây giờ' có con số</t>
        </is>
      </c>
      <c r="B9" s="44">
        <f>IF(AND(LEN('3_Bảng lộ trình'!B12)&gt;10,SUMPRODUCT(--ISNUMBER(SEARCH({"0","1","2","3","4","5","6","7","8","9"},'3_Bảng lộ trình'!B12)))&gt;0),"Có","Chưa")</f>
        <v/>
      </c>
      <c r="C9" s="44">
        <f>IF(B9="Có","Đạt","Xem lại")</f>
        <v/>
      </c>
    </row>
    <row r="10" ht="15" customHeight="1" s="33">
      <c r="A10" s="43" t="inlineStr">
        <is>
          <t>Căn cứ kinh tế có con số (từ số liệu của đề)</t>
        </is>
      </c>
      <c r="B10" s="44">
        <f>IF(AND(LEN('3_Bảng lộ trình'!B11)&gt;10,SUMPRODUCT(--ISNUMBER(SEARCH({"0","1","2","3","4","5","6","7","8","9"},'3_Bảng lộ trình'!B11)))&gt;0),"Có","Chưa")</f>
        <v/>
      </c>
      <c r="C10" s="44">
        <f>IF(B10="Có","Đạt","Xem lại")</f>
        <v/>
      </c>
    </row>
    <row r="11" ht="15" customHeight="1" s="33">
      <c r="A11" s="43" t="inlineStr">
        <is>
          <t>Slide lãnh đạo: số ô đạt (đủ chữ, không quá 60 chữ; cần 5)</t>
        </is>
      </c>
      <c r="B11" s="44">
        <f>COUNTIF('5_Slide lãnh đạo'!D4:D8,"Đạt")</f>
        <v/>
      </c>
      <c r="C11" s="44">
        <f>IF(B11=5,"Đạt","Xem lại")</f>
        <v/>
      </c>
    </row>
    <row r="12" ht="15" customHeight="1" s="33">
      <c r="A12" s="43" t="inlineStr">
        <is>
          <t>Số mức tự động có biên lợi nhuận ≥ 60% (cần ≥ 1)</t>
        </is>
      </c>
      <c r="B12" s="44">
        <f>COUNTIF('2_Mức tự động'!L5:L8,"Đạt")</f>
        <v/>
      </c>
      <c r="C12" s="44">
        <f>IF(B12&gt;=1,"Đạt","Xem lại")</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30" customWidth="1" style="32" min="2" max="2"/>
    <col width="80" customWidth="1" style="32" min="3" max="3"/>
    <col width="40" customWidth="1" style="32" min="4" max="4"/>
  </cols>
  <sheetData>
    <row r="1" ht="17.25" customHeight="1" s="33">
      <c r="A1" s="34" t="inlineStr">
        <is>
          <t>7 · Thang điểm sản phẩm (100 điểm)</t>
        </is>
      </c>
    </row>
    <row r="2" ht="15" customHeight="1" s="33">
      <c r="A2" s="35" t="n"/>
    </row>
    <row r="4" ht="15" customHeight="1" s="33">
      <c r="A4" s="42" t="inlineStr">
        <is>
          <t>Tiêu chí</t>
        </is>
      </c>
      <c r="B4" s="42" t="inlineStr">
        <is>
          <t>Điểm</t>
        </is>
      </c>
      <c r="C4" s="42" t="inlineStr">
        <is>
          <t>Bài đạt khi</t>
        </is>
      </c>
      <c r="D4" s="42" t="inlineStr">
        <is>
          <t>Điểm nhóm</t>
        </is>
      </c>
    </row>
    <row r="5" ht="15" customHeight="1" s="33">
      <c r="A5" s="43" t="inlineStr">
        <is>
          <t>Theo kết quả và giả thuyết</t>
        </is>
      </c>
      <c r="B5" s="32" t="n">
        <v>20</v>
      </c>
      <c r="C5" s="59" t="inlineStr">
        <is>
          <t>Mỗi việc có giả thuyết, chỉ số và ngưỡng, không chỉ là tên tính năng</t>
        </is>
      </c>
      <c r="D5" s="60" t="n"/>
    </row>
    <row r="6" ht="15" customHeight="1" s="33">
      <c r="A6" s="43" t="inlineStr">
        <is>
          <t>Ưu tiên có căn cứ</t>
        </is>
      </c>
      <c r="B6" s="32" t="n">
        <v>20</v>
      </c>
      <c r="C6" s="59" t="inlineStr">
        <is>
          <t>Bảng điểm ≥ 5 việc; có sẵn sàng dữ liệu, đánh giá và rủi ro bị nuốt; dùng số liệu kinh tế của đề; đổi thứ tự hoặc bỏ việc thì ghi lý do</t>
        </is>
      </c>
      <c r="D6" s="60" t="n"/>
    </row>
    <row r="7" ht="15" customHeight="1" s="33">
      <c r="A7" s="43" t="inlineStr">
        <is>
          <t>Mức tự động và cổng đánh giá</t>
        </is>
      </c>
      <c r="B7" s="32" t="n">
        <v>25</v>
      </c>
      <c r="C7" s="59" t="inlineStr">
        <is>
          <t>≥ 2 mức có cổng bằng con số (chỉ số, ngưỡng, cỡ mẫu); có vai trò của người; có chi phí mỗi việc theo mức</t>
        </is>
      </c>
      <c r="D7" s="60" t="n"/>
    </row>
    <row r="8" ht="15" customHeight="1" s="33">
      <c r="A8" s="43" t="inlineStr">
        <is>
          <t>Điều kiện cần và rủi ro</t>
        </is>
      </c>
      <c r="B8" s="32" t="n">
        <v>15</v>
      </c>
      <c r="C8" s="59" t="inlineStr">
        <is>
          <t>Nêu dữ liệu, hạ tầng, tuân thủ; điều kiện dừng đo được với quy mô thử nghiệm; có lịch rà soát</t>
        </is>
      </c>
      <c r="D8" s="60" t="n"/>
    </row>
    <row r="9" ht="15" customHeight="1" s="33">
      <c r="A9" s="43" t="inlineStr">
        <is>
          <t>Slide lãnh đạo</t>
        </is>
      </c>
      <c r="B9" s="32" t="n">
        <v>20</v>
      </c>
      <c r="C9" s="59" t="inlineStr">
        <is>
          <t>Kết luận trước, ≤ 60 chữ mỗi ô, trả lời được "cần gì" và "khi nào xem lại"</t>
        </is>
      </c>
      <c r="D9" s="60" t="n"/>
    </row>
    <row r="10" ht="15" customHeight="1" s="33">
      <c r="A10" s="41" t="inlineStr">
        <is>
          <t>TỔNG</t>
        </is>
      </c>
      <c r="B10" s="32">
        <f>SUM(B5:B9)</f>
        <v/>
      </c>
      <c r="D10" s="44">
        <f>SUM(D5:D9)</f>
        <v/>
      </c>
    </row>
    <row r="12" ht="15" customHeight="1" s="33">
      <c r="A12" s="41" t="n"/>
      <c r="D12" s="60" t="n"/>
    </row>
    <row r="15" ht="15" customHeight="1" s="33">
      <c r="A15" s="61" t="inlineStr">
        <is>
          <t>THANG ĐIỂM TRÌNH BÀY (1–5 điểm mỗi tiêu chí)</t>
        </is>
      </c>
    </row>
    <row r="16" ht="15" customHeight="1" s="33">
      <c r="A16" s="42" t="inlineStr">
        <is>
          <t>Tiêu chí</t>
        </is>
      </c>
      <c r="B16" s="42" t="inlineStr">
        <is>
          <t>Mức 1</t>
        </is>
      </c>
      <c r="C16" s="42" t="inlineStr">
        <is>
          <t>Mức 3</t>
        </is>
      </c>
      <c r="D16" s="42" t="inlineStr">
        <is>
          <t>Mức 5</t>
        </is>
      </c>
    </row>
    <row r="17" ht="45.75" customHeight="1" s="33">
      <c r="A17" s="62" t="inlineStr">
        <is>
          <t>Rõ ràng</t>
        </is>
      </c>
      <c r="B17" s="63" t="inlineStr">
        <is>
          <t>Câu đầu chưa có kết luận; người nghe phải đoán nhóm làm gì trước</t>
        </is>
      </c>
      <c r="C17" s="63" t="inlineStr">
        <is>
          <t>Có kết luận nhưng nói sau phần mở đầu, hoặc thiếu mốc quyết định</t>
        </is>
      </c>
      <c r="D17" s="63" t="inlineStr">
        <is>
          <t>Câu đầu có việc làm trước, mục tiêu bằng số và ngày quyết định</t>
        </is>
      </c>
    </row>
    <row r="18" ht="45.75" customHeight="1" s="33">
      <c r="A18" s="62" t="inlineStr">
        <is>
          <t>Bằng chứng</t>
        </is>
      </c>
      <c r="B18" s="63" t="inlineStr">
        <is>
          <t>Không có cổng đánh giá, hoặc số không có nguồn</t>
        </is>
      </c>
      <c r="C18" s="63" t="inlineStr">
        <is>
          <t>Có cổng nhưng thiếu cỡ mẫu hoặc căn cứ kinh tế</t>
        </is>
      </c>
      <c r="D18" s="63" t="inlineStr">
        <is>
          <t>Cổng đủ chỉ số, ngưỡng, cỡ mẫu; căn cứ kinh tế lấy từ số liệu của đề</t>
        </is>
      </c>
    </row>
    <row r="19" ht="45.75" customHeight="1" s="33">
      <c r="A19" s="62" t="inlineStr">
        <is>
          <t>Trả lời phản biện</t>
        </is>
      </c>
      <c r="B19" s="63" t="inlineStr">
        <is>
          <t>Né câu hỏi hoặc trả lời chung chung</t>
        </is>
      </c>
      <c r="C19" s="63" t="inlineStr">
        <is>
          <t>Trả lời đúng ý nhưng không dẫn số</t>
        </is>
      </c>
      <c r="D19" s="63" t="inlineStr">
        <is>
          <t>Trả lời thẳng, dẫn đúng con số trong file</t>
        </is>
      </c>
    </row>
    <row r="20" ht="45.75" customHeight="1" s="33">
      <c r="A20" s="62" t="inlineStr">
        <is>
          <t>Đúng giờ</t>
        </is>
      </c>
      <c r="B20" s="63" t="inlineStr">
        <is>
          <t>Quá 4 phút</t>
        </is>
      </c>
      <c r="C20" s="63" t="inlineStr">
        <is>
          <t>Từ 3 đến 4 phút</t>
        </is>
      </c>
      <c r="D20" s="63" t="inlineStr">
        <is>
          <t>Không quá 3 phút</t>
        </is>
      </c>
    </row>
    <row r="22" ht="15" customHeight="1" s="33">
      <c r="A22" s="53" t="inlineStr">
        <is>
          <t>Mức 2 và 4 dùng khi bài nằm giữa hai mô tả. Bản chuẩn của buổi học không có phần trình bày trên lớp: điểm buổi = thang sản phẩm 100 điểm ở trên. Thang trình bày chỉ dùng khi giảng viên tổ chức trình bày.</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2026-10-04T05:24:07Z</dcterms:created>
  <dcterms:modified xmlns:dcterms="http://purl.org/dc/terms/" xmlns:xsi="http://www.w3.org/2001/XMLSchema-instance" xsi:type="dcterms:W3CDTF">2026-10-16T09:44:25Z</dcterms:modified>
  <cp:revision>0</cp:revision>
</cp:coreProperties>
</file>